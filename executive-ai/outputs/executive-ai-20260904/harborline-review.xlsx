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2cec94140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review" sheetId="1" r:id="Re7750620e12442fd"/>
    <x:sheet xmlns:r="http://schemas.openxmlformats.org/officeDocument/2006/relationships" name="Source data" sheetId="2" r:id="R0bd3eb04d11e4378"/>
    <x:sheet xmlns:r="http://schemas.openxmlformats.org/officeDocument/2006/relationships" name="Workforce" sheetId="3" r:id="R21505f8e02f747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($#,##0);&quot;-&quot;"/>
    <x:numFmt numFmtId="201" formatCode="0.0%;(0.0%);&quot;-&quot;"/>
    <x:numFmt numFmtId="202" formatCode="0.0%"/>
    <x:numFmt numFmtId="203" formatCode="0.0&quot; pp&quot;"/>
    <x:numFmt numFmtId="204" formatCode="#,##0"/>
  </x:numFmts>
  <x:fonts count="6">
    <x:font>
      <x:sz val="11"/>
      <x:name val="Carlito"/>
    </x:font>
    <x:font>
      <x:sz val="11"/>
      <x:color rgb="FF10243A"/>
      <x:name val="Arial"/>
    </x:font>
    <x:font>
      <x:b/>
      <x:sz val="17"/>
      <x:color rgb="FF10243A"/>
      <x:name val="Arial"/>
    </x:font>
    <x:font>
      <x:b/>
      <x:sz val="11"/>
      <x:color rgb="FFFFFFFF"/>
      <x:name val="Arial"/>
    </x:font>
    <x:font>
      <x:b/>
      <x:sz val="11"/>
      <x:color rgb="FF10243A"/>
      <x:name val="Arial"/>
    </x:font>
    <x:font>
      <x:sz val="11"/>
      <x:color rgb="FF1A3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0243A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204" fontId="5" fillId="0" borderId="0" xfId="0" applyNumberFormat="1" applyFont="1" applyFill="1" applyBorder="1"/>
    <x:xf numFmtId="204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dc1a6270b460d" /><Relationship Type="http://schemas.openxmlformats.org/officeDocument/2006/relationships/theme" Target="/xl/theme/theme1.xml" Id="R064668aa276544f2" /><Relationship Type="http://schemas.openxmlformats.org/officeDocument/2006/relationships/sharedStrings" Target="/xl/sharedStrings.xml" Id="R26253388b1104669" /><Relationship Type="http://schemas.openxmlformats.org/officeDocument/2006/relationships/worksheet" Target="/xl/worksheets/sheet1.xml" Id="Re7750620e12442fd" /><Relationship Type="http://schemas.openxmlformats.org/officeDocument/2006/relationships/worksheet" Target="/xl/worksheets/sheet2.xml" Id="R0bd3eb04d11e4378" /><Relationship Type="http://schemas.openxmlformats.org/officeDocument/2006/relationships/worksheet" Target="/xl/worksheets/sheet3.xml" Id="R21505f8e02f747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2" t="str">
        <x:v>Monthly business review</x:v>
      </x:c>
      <x:c r="B1" s="1"/>
      <x:c r="C1" s="1"/>
      <x:c r="D1" s="1"/>
      <x:c r="E1" s="1"/>
      <x:c r="F1" s="1"/>
    </x:row>
    <x:row r="2" ht="25" customHeight="1">
      <x:c r="A2" s="1" t="str">
        <x:v>Harborline Advisory. Fictional data. USD. Draft for human review.</x:v>
      </x:c>
      <x:c r="B2" s="1"/>
      <x:c r="C2" s="1"/>
      <x:c r="D2" s="1"/>
      <x:c r="E2" s="1"/>
      <x:c r="F2" s="1"/>
    </x:row>
    <x:row r="3" ht="25" customHeight="1">
      <x:c r="A3" s="1" t="str">
        <x:v>Reporting month</x:v>
      </x:c>
      <x:c r="B3" s="3" t="str">
        <x:v>2026-08</x:v>
      </x:c>
      <x:c r="C3" s="1"/>
      <x:c r="D3" s="1"/>
      <x:c r="E3" s="1"/>
      <x:c r="F3" s="1"/>
    </x:row>
    <x:row r="4" ht="38" customHeight="1">
      <x:c r="A4" s="6" t="str">
        <x:v>Metric</x:v>
      </x:c>
      <x:c r="B4" s="6" t="str">
        <x:v>Actual</x:v>
      </x:c>
      <x:c r="C4" s="6" t="str">
        <x:v>Budget</x:v>
      </x:c>
      <x:c r="D4" s="6" t="str">
        <x:v>Difference</x:v>
      </x:c>
      <x:c r="E4" s="6" t="str">
        <x:v>Difference %</x:v>
      </x:c>
      <x:c r="F4" s="1"/>
    </x:row>
    <x:row r="5" ht="25" customHeight="1">
      <x:c r="A5" s="1" t="str">
        <x:v>Revenue</x:v>
      </x:c>
      <x:c r="B5" s="7" t="n">
        <x:f>SUMIFS('Source data'!$E$5:$E$28,'Source data'!$B$5:$B$28,$B$3,'Source data'!$D$5:$D$28,$A5)</x:f>
        <x:v>3250000</x:v>
      </x:c>
      <x:c r="C5" s="7" t="n">
        <x:f>SUMIFS('Source data'!$F$5:$F$28,'Source data'!$B$5:$B$28,$B$3,'Source data'!$D$5:$D$28,$A5)</x:f>
        <x:v>3400000</x:v>
      </x:c>
      <x:c r="D5" s="7" t="n">
        <x:f>B5-C5</x:f>
        <x:v>-150000</x:v>
      </x:c>
      <x:c r="E5" s="8" t="n">
        <x:f>IF(C5=0,"Unavailable",D5/ABS(C5))</x:f>
        <x:v>-0.04411764705882353</x:v>
      </x:c>
      <x:c r="F5" s="1"/>
    </x:row>
    <x:row r="6" ht="25" customHeight="1">
      <x:c r="A6" s="1" t="str">
        <x:v>Payroll</x:v>
      </x:c>
      <x:c r="B6" s="7" t="n">
        <x:f>SUMIFS('Source data'!$E$5:$E$28,'Source data'!$B$5:$B$28,$B$3,'Source data'!$D$5:$D$28,$A6)</x:f>
        <x:v>1630000</x:v>
      </x:c>
      <x:c r="C6" s="7" t="n">
        <x:f>SUMIFS('Source data'!$F$5:$F$28,'Source data'!$B$5:$B$28,$B$3,'Source data'!$D$5:$D$28,$A6)</x:f>
        <x:v>1600000</x:v>
      </x:c>
      <x:c r="D6" s="7" t="n">
        <x:f>B6-C6</x:f>
        <x:v>30000</x:v>
      </x:c>
      <x:c r="E6" s="8" t="n">
        <x:f>IF(C6=0,"Unavailable",D6/ABS(C6))</x:f>
        <x:v>0.01875</x:v>
      </x:c>
      <x:c r="F6" s="1"/>
    </x:row>
    <x:row r="7" ht="25" customHeight="1">
      <x:c r="A7" s="1" t="str">
        <x:v>Contractors</x:v>
      </x:c>
      <x:c r="B7" s="7" t="n">
        <x:f>SUMIFS('Source data'!$E$5:$E$28,'Source data'!$B$5:$B$28,$B$3,'Source data'!$D$5:$D$28,$A7)</x:f>
        <x:v>290000</x:v>
      </x:c>
      <x:c r="C7" s="7" t="n">
        <x:f>SUMIFS('Source data'!$F$5:$F$28,'Source data'!$B$5:$B$28,$B$3,'Source data'!$D$5:$D$28,$A7)</x:f>
        <x:v>250000</x:v>
      </x:c>
      <x:c r="D7" s="7" t="n">
        <x:f>B7-C7</x:f>
        <x:v>40000</x:v>
      </x:c>
      <x:c r="E7" s="8" t="n">
        <x:f>IF(C7=0,"Unavailable",D7/ABS(C7))</x:f>
        <x:v>0.16</x:v>
      </x:c>
      <x:c r="F7" s="1"/>
    </x:row>
    <x:row r="8" ht="25" customHeight="1">
      <x:c r="A8" s="1" t="str">
        <x:v>Other operating costs</x:v>
      </x:c>
      <x:c r="B8" s="7" t="n">
        <x:f>SUMIFS('Source data'!$E$5:$E$28,'Source data'!$B$5:$B$28,$B$3,'Source data'!$D$5:$D$28,$A8)</x:f>
        <x:v>810000</x:v>
      </x:c>
      <x:c r="C8" s="7" t="n">
        <x:f>SUMIFS('Source data'!$F$5:$F$28,'Source data'!$B$5:$B$28,$B$3,'Source data'!$D$5:$D$28,$A8)</x:f>
        <x:v>800000</x:v>
      </x:c>
      <x:c r="D8" s="7" t="n">
        <x:f>B8-C8</x:f>
        <x:v>10000</x:v>
      </x:c>
      <x:c r="E8" s="8" t="n">
        <x:f>IF(C8=0,"Unavailable",D8/ABS(C8))</x:f>
        <x:v>0.0125</x:v>
      </x:c>
      <x:c r="F8" s="1"/>
    </x:row>
    <x:row r="9" ht="25" customHeight="1">
      <x:c r="A9" s="1" t="str">
        <x:v>Total expenses</x:v>
      </x:c>
      <x:c r="B9" s="7" t="n">
        <x:f>SUM(B6:B8)</x:f>
        <x:v>2730000</x:v>
      </x:c>
      <x:c r="C9" s="7" t="n">
        <x:f>SUM(C6:C8)</x:f>
        <x:v>2650000</x:v>
      </x:c>
      <x:c r="D9" s="7" t="n">
        <x:f>B9-C9</x:f>
        <x:v>80000</x:v>
      </x:c>
      <x:c r="E9" s="8" t="n">
        <x:f>IF(C9=0,"Unavailable",D9/ABS(C9))</x:f>
        <x:v>0.03018867924528302</x:v>
      </x:c>
      <x:c r="F9" s="1"/>
    </x:row>
    <x:row r="10" ht="25" customHeight="1">
      <x:c r="A10" s="1" t="str">
        <x:v>Operating profit</x:v>
      </x:c>
      <x:c r="B10" s="7" t="n">
        <x:f>B5-B9</x:f>
        <x:v>520000</x:v>
      </x:c>
      <x:c r="C10" s="7" t="n">
        <x:f>C5-C9</x:f>
        <x:v>750000</x:v>
      </x:c>
      <x:c r="D10" s="7" t="n">
        <x:f>B10-C10</x:f>
        <x:v>-230000</x:v>
      </x:c>
      <x:c r="E10" s="8" t="n">
        <x:f>IF(C10=0,"Unavailable",D10/ABS(C10))</x:f>
        <x:v>-0.30666666666666664</x:v>
      </x:c>
      <x:c r="F10" s="1"/>
    </x:row>
    <x:row r="11" ht="25" customHeight="1">
      <x:c r="A11" s="1" t="str">
        <x:v>Operating margin</x:v>
      </x:c>
      <x:c r="B11" s="9" t="n">
        <x:f>IF(B5=0,"Unavailable",B10/B5)</x:f>
        <x:v>0.16</x:v>
      </x:c>
      <x:c r="C11" s="9" t="n">
        <x:f>IF(C5=0,"Unavailable",C10/C5)</x:f>
        <x:v>0.22058823529411764</x:v>
      </x:c>
      <x:c r="D11" s="10" t="n">
        <x:f>IF(OR(B5=0,C5=0),"Unavailable",(B11-C11)*100)</x:f>
        <x:v>-6.058823529411764</x:v>
      </x:c>
      <x:c r="E11" s="1"/>
      <x:c r="F11" s="1"/>
    </x:row>
    <x:row r="12" ht="25" customHeight="1">
      <x:c r="A12" s="1"/>
      <x:c r="B12" s="1"/>
      <x:c r="C12" s="1"/>
      <x:c r="D12" s="1"/>
      <x:c r="E12" s="1"/>
      <x:c r="F12" s="1"/>
    </x:row>
    <x:row r="13" ht="25" customHeight="1">
      <x:c r="A13" s="1" t="str">
        <x:v>Differences are actual minus budget. Positive expenses are over budget.</x:v>
      </x:c>
      <x:c r="B13" s="1"/>
      <x:c r="C13" s="1"/>
      <x:c r="D13" s="1"/>
      <x:c r="E13" s="1"/>
      <x:c r="F13" s="1"/>
    </x:row>
    <x:row r="14" ht="25" customHeight="1">
      <x:c r="A14" s="1" t="str">
        <x:v>Operating profit excludes tax, interest, depreciation, and amortization.</x:v>
      </x:c>
      <x:c r="B14" s="1"/>
      <x:c r="C14" s="1"/>
      <x:c r="D14" s="1"/>
      <x:c r="E14" s="1"/>
      <x:c r="F14" s="1"/>
    </x:row>
    <x:row r="15" ht="38" customHeight="1">
      <x:c r="A15" s="6" t="str">
        <x:v>Office</x:v>
      </x:c>
      <x:c r="B15" s="6" t="str">
        <x:v>Profit actual</x:v>
      </x:c>
      <x:c r="C15" s="6" t="str">
        <x:v>Profit budget</x:v>
      </x:c>
      <x:c r="D15" s="6" t="str">
        <x:v>Profit difference</x:v>
      </x:c>
      <x:c r="E15" s="6" t="str">
        <x:v>Revenue actual</x:v>
      </x:c>
      <x:c r="F15" s="6" t="str">
        <x:v>Expenses actual</x:v>
      </x:c>
    </x:row>
    <x:row r="16" ht="25" customHeight="1">
      <x:c r="A16" s="1" t="str">
        <x:v>North</x:v>
      </x:c>
      <x:c r="B16" s="7" t="n">
        <x:f>E16-F16</x:f>
        <x:v>110000</x:v>
      </x:c>
      <x:c r="C16" s="7" t="n">
        <x:f>SUMIFS('Source data'!$F$5:$F$28,'Source data'!$B$5:$B$28,$B$3,'Source data'!$C$5:$C$28,$A16,'Source data'!$D$5:$D$28,"Revenue")-SUMIFS('Source data'!$F$5:$F$28,'Source data'!$B$5:$B$28,$B$3,'Source data'!$C$5:$C$28,$A16,'Source data'!$D$5:$D$28,"&lt;&gt;Revenue")</x:f>
        <x:v>400000</x:v>
      </x:c>
      <x:c r="D16" s="7" t="n">
        <x:f>B16-C16</x:f>
        <x:v>-290000</x:v>
      </x:c>
      <x:c r="E16" s="7" t="n">
        <x:f>SUMIFS('Source data'!$E$5:$E$28,'Source data'!$B$5:$B$28,$B$3,'Source data'!$C$5:$C$28,$A16,'Source data'!$D$5:$D$28,"Revenue")</x:f>
        <x:v>1350000</x:v>
      </x:c>
      <x:c r="F16" s="7" t="n">
        <x:f>SUMIFS('Source data'!$E$5:$E$28,'Source data'!$B$5:$B$28,$B$3,'Source data'!$C$5:$C$28,$A16,'Source data'!$D$5:$D$28,"&lt;&gt;Revenue")</x:f>
        <x:v>1240000</x:v>
      </x:c>
    </x:row>
    <x:row r="17" ht="25" customHeight="1">
      <x:c r="A17" s="1" t="str">
        <x:v>Central</x:v>
      </x:c>
      <x:c r="B17" s="7" t="n">
        <x:f>E17-F17</x:f>
        <x:v>335000</x:v>
      </x:c>
      <x:c r="C17" s="7" t="n">
        <x:f>SUMIFS('Source data'!$F$5:$F$28,'Source data'!$B$5:$B$28,$B$3,'Source data'!$C$5:$C$28,$A17,'Source data'!$D$5:$D$28,"Revenue")-SUMIFS('Source data'!$F$5:$F$28,'Source data'!$B$5:$B$28,$B$3,'Source data'!$C$5:$C$28,$A17,'Source data'!$D$5:$D$28,"&lt;&gt;Revenue")</x:f>
        <x:v>270000</x:v>
      </x:c>
      <x:c r="D17" s="7" t="n">
        <x:f>B17-C17</x:f>
        <x:v>65000</x:v>
      </x:c>
      <x:c r="E17" s="7" t="n">
        <x:f>SUMIFS('Source data'!$E$5:$E$28,'Source data'!$B$5:$B$28,$B$3,'Source data'!$C$5:$C$28,$A17,'Source data'!$D$5:$D$28,"Revenue")</x:f>
        <x:v>1150000</x:v>
      </x:c>
      <x:c r="F17" s="7" t="n">
        <x:f>SUMIFS('Source data'!$E$5:$E$28,'Source data'!$B$5:$B$28,$B$3,'Source data'!$C$5:$C$28,$A17,'Source data'!$D$5:$D$28,"&lt;&gt;Revenue")</x:f>
        <x:v>815000</x:v>
      </x:c>
    </x:row>
    <x:row r="18" ht="25" customHeight="1">
      <x:c r="A18" s="1" t="str">
        <x:v>South</x:v>
      </x:c>
      <x:c r="B18" s="7" t="n">
        <x:f>E18-F18</x:f>
        <x:v>75000</x:v>
      </x:c>
      <x:c r="C18" s="7" t="n">
        <x:f>SUMIFS('Source data'!$F$5:$F$28,'Source data'!$B$5:$B$28,$B$3,'Source data'!$C$5:$C$28,$A18,'Source data'!$D$5:$D$28,"Revenue")-SUMIFS('Source data'!$F$5:$F$28,'Source data'!$B$5:$B$28,$B$3,'Source data'!$C$5:$C$28,$A18,'Source data'!$D$5:$D$28,"&lt;&gt;Revenue")</x:f>
        <x:v>80000</x:v>
      </x:c>
      <x:c r="D18" s="7" t="n">
        <x:f>B18-C18</x:f>
        <x:v>-5000</x:v>
      </x:c>
      <x:c r="E18" s="7" t="n">
        <x:f>SUMIFS('Source data'!$E$5:$E$28,'Source data'!$B$5:$B$28,$B$3,'Source data'!$C$5:$C$28,$A18,'Source data'!$D$5:$D$28,"Revenue")</x:f>
        <x:v>750000</x:v>
      </x:c>
      <x:c r="F18" s="7" t="n">
        <x:f>SUMIFS('Source data'!$E$5:$E$28,'Source data'!$B$5:$B$28,$B$3,'Source data'!$C$5:$C$28,$A18,'Source data'!$D$5:$D$28,"&lt;&gt;Revenue")</x:f>
        <x:v>675000</x:v>
      </x:c>
    </x:row>
    <x:row r="19" ht="25" customHeight="1">
      <x:c r="A19" s="11" t="str">
        <x:v>Company total</x:v>
      </x:c>
      <x:c r="B19" s="12" t="n">
        <x:f>SUM(B16:B18)</x:f>
        <x:v>520000</x:v>
      </x:c>
      <x:c r="C19" s="12" t="n">
        <x:f>SUM(C16:C18)</x:f>
        <x:v>750000</x:v>
      </x:c>
      <x:c r="D19" s="12" t="n">
        <x:f>SUM(D16:D18)</x:f>
        <x:v>-230000</x:v>
      </x:c>
      <x:c r="E19" s="12" t="n">
        <x:f>SUM(E16:E18)</x:f>
        <x:v>3250000</x:v>
      </x:c>
      <x:c r="F19" s="12" t="n">
        <x:f>SUM(F16:F18)</x:f>
        <x:v>2730000</x:v>
      </x:c>
    </x:row>
    <x:row r="20" ht="25" customHeight="1">
      <x:c r="A20" s="1"/>
      <x:c r="B20" s="1"/>
      <x:c r="C20" s="1"/>
      <x:c r="D20" s="1"/>
      <x:c r="E20" s="1"/>
      <x:c r="F20" s="1"/>
    </x:row>
    <x:row r="21" ht="25" customHeight="1">
      <x:c r="A21" s="1" t="str">
        <x:v>Reconciliation differences. Zero means the supplied totals tie.</x:v>
      </x:c>
      <x:c r="B21" s="1"/>
      <x:c r="C21" s="1"/>
      <x:c r="D21" s="1"/>
      <x:c r="E21" s="1"/>
      <x:c r="F21" s="1"/>
    </x:row>
    <x:row r="22" ht="25" customHeight="1">
      <x:c r="A22" s="1" t="str">
        <x:v>Revenue actual</x:v>
      </x:c>
      <x:c r="B22" s="7" t="n">
        <x:f>B5-SUMIF('Source data'!$A$34:$A$35,$B$3,'Source data'!$B$34:$B$35)</x:f>
        <x:v>0</x:v>
      </x:c>
      <x:c r="C22" s="1"/>
      <x:c r="D22" s="1"/>
      <x:c r="E22" s="1"/>
      <x:c r="F22" s="1"/>
    </x:row>
    <x:row r="23" ht="25" customHeight="1">
      <x:c r="A23" s="1" t="str">
        <x:v>Revenue budget</x:v>
      </x:c>
      <x:c r="B23" s="7" t="n">
        <x:f>C5-SUMIF('Source data'!$A$34:$A$35,$B$3,'Source data'!$C$34:$C$35)</x:f>
        <x:v>0</x:v>
      </x:c>
      <x:c r="C23" s="1"/>
      <x:c r="D23" s="1"/>
      <x:c r="E23" s="1"/>
      <x:c r="F23" s="1"/>
    </x:row>
    <x:row r="24" ht="25" customHeight="1">
      <x:c r="A24" s="1" t="str">
        <x:v>Expenses actual</x:v>
      </x:c>
      <x:c r="B24" s="7" t="n">
        <x:f>B9-SUMIF('Source data'!$A$34:$A$35,$B$3,'Source data'!$D$34:$D$35)</x:f>
        <x:v>0</x:v>
      </x:c>
      <x:c r="C24" s="1"/>
      <x:c r="D24" s="1"/>
      <x:c r="E24" s="1"/>
      <x:c r="F24" s="1"/>
    </x:row>
    <x:row r="25" ht="25" customHeight="1">
      <x:c r="A25" s="1" t="str">
        <x:v>Expenses budget</x:v>
      </x:c>
      <x:c r="B25" s="7" t="n">
        <x:f>C9-SUMIF('Source data'!$A$34:$A$35,$B$3,'Source data'!$E$34:$E$35)</x:f>
        <x:v>0</x:v>
      </x:c>
      <x:c r="C25" s="1"/>
      <x:c r="D25" s="1"/>
      <x:c r="E25" s="1"/>
      <x:c r="F25" s="1"/>
    </x:row>
    <x:row r="26" ht="25" customHeight="1">
      <x:c r="A26" s="1"/>
      <x:c r="B26" s="1"/>
      <x:c r="C26" s="1"/>
      <x:c r="D26" s="1"/>
      <x:c r="E26" s="1"/>
      <x:c r="F26" s="1"/>
    </x:row>
    <x:row r="27" ht="25" customHeight="1">
      <x:c r="A27" s="1" t="str">
        <x:v>Source data contains raw IDs and independent company control totals.</x:v>
      </x:c>
      <x:c r="B27" s="1"/>
      <x:c r="C27" s="1"/>
      <x:c r="D27" s="1"/>
      <x:c r="E27" s="1"/>
      <x:c r="F27" s="1"/>
    </x:row>
    <x:row r="28" ht="25" customHeight="1">
      <x:c r="A28" s="1" t="str">
        <x:v>Workforce covers August only. Aggregate figures do not establish causation.</x:v>
      </x:c>
      <x:c r="B28" s="1"/>
      <x:c r="C28" s="1"/>
      <x:c r="D28" s="1"/>
      <x:c r="E28" s="1"/>
      <x:c r="F28" s="1"/>
    </x:row>
    <x:row r="29" ht="25" customHeight="1">
      <x:c r="A29" s="1" t="str">
        <x:v>Review assumptions, source definitions, and missing evidence before decisions.</x:v>
      </x:c>
      <x:c r="B29" s="1"/>
      <x:c r="C29" s="1"/>
      <x:c r="D29" s="1"/>
      <x:c r="E29" s="1"/>
      <x:c r="F29" s="1"/>
    </x:row>
    <x:row r="30" ht="25" customHeight="1">
      <x:c r="A30" s="1"/>
      <x:c r="B30" s="1"/>
      <x:c r="C30" s="1"/>
      <x:c r="D30" s="1"/>
      <x:c r="E30" s="1"/>
      <x:c r="F30" s="1"/>
    </x:row>
    <x:row r="31" ht="25" customHeight="1">
      <x:c r="A31" s="1"/>
      <x:c r="B31" s="1"/>
      <x:c r="C31" s="1"/>
      <x:c r="D31" s="1"/>
      <x:c r="E31" s="1"/>
      <x:c r="F31" s="1"/>
    </x:row>
    <x:row r="32" ht="25" customHeight="1">
      <x:c r="A32" s="1"/>
      <x:c r="B32" s="1"/>
      <x:c r="C32" s="1"/>
      <x:c r="D32" s="1"/>
      <x:c r="E32" s="1"/>
      <x:c r="F32" s="1"/>
    </x:row>
  </x:sheetData>
  <x:dataValidations count="1">
    <x:dataValidation type="list" sqref="B3">
      <x:formula1>"2026-07,2026-08"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7" hidden="0" customWidth="1"/>
    <x:col min="5" max="5" width="19" hidden="0" customWidth="1"/>
    <x:col min="6" max="6" width="19" hidden="0" customWidth="1"/>
  </x:cols>
  <x:sheetData>
    <x:row r="1" ht="25" customHeight="1">
      <x:c r="A1" s="2" t="str">
        <x:v>Accounting source records</x:v>
      </x:c>
      <x:c r="B1" s="1"/>
      <x:c r="C1" s="1"/>
      <x:c r="D1" s="1"/>
      <x:c r="E1" s="1"/>
      <x:c r="F1" s="1"/>
    </x:row>
    <x:row r="2" ht="25" customHeight="1">
      <x:c r="A2" s="1" t="str">
        <x:v>Fabricated fixture exported from the local demonstration warehouse. USD.</x:v>
      </x:c>
      <x:c r="B2" s="1"/>
      <x:c r="C2" s="1"/>
      <x:c r="D2" s="1"/>
      <x:c r="E2" s="1"/>
      <x:c r="F2" s="1"/>
    </x:row>
    <x:row r="3" ht="25" customHeight="1">
      <x:c r="A3" s="1"/>
      <x:c r="B3" s="1"/>
      <x:c r="C3" s="1"/>
      <x:c r="D3" s="1"/>
      <x:c r="E3" s="1"/>
      <x:c r="F3" s="1"/>
    </x:row>
    <x:row r="4" ht="38" customHeight="1">
      <x:c r="A4" s="6" t="str">
        <x:v>Source ID</x:v>
      </x:c>
      <x:c r="B4" s="6" t="str">
        <x:v>Month</x:v>
      </x:c>
      <x:c r="C4" s="6" t="str">
        <x:v>Office</x:v>
      </x:c>
      <x:c r="D4" s="6" t="str">
        <x:v>Metric</x:v>
      </x:c>
      <x:c r="E4" s="6" t="str">
        <x:v>Actual</x:v>
      </x:c>
      <x:c r="F4" s="6" t="str">
        <x:v>Budget</x:v>
      </x:c>
    </x:row>
    <x:row r="5" ht="25" customHeight="1">
      <x:c r="A5" s="1" t="str">
        <x:v>J-N-R</x:v>
      </x:c>
      <x:c r="B5" s="1" t="str">
        <x:v>2026-07</x:v>
      </x:c>
      <x:c r="C5" s="1" t="str">
        <x:v>North</x:v>
      </x:c>
      <x:c r="D5" s="1" t="str">
        <x:v>Revenue</x:v>
      </x:c>
      <x:c r="E5" s="13" t="n">
        <x:v>1450000</x:v>
      </x:c>
      <x:c r="F5" s="13" t="n">
        <x:v>1450000</x:v>
      </x:c>
    </x:row>
    <x:row r="6" ht="25" customHeight="1">
      <x:c r="A6" s="1" t="str">
        <x:v>J-N-P</x:v>
      </x:c>
      <x:c r="B6" s="1" t="str">
        <x:v>2026-07</x:v>
      </x:c>
      <x:c r="C6" s="1" t="str">
        <x:v>North</x:v>
      </x:c>
      <x:c r="D6" s="1" t="str">
        <x:v>Payroll</x:v>
      </x:c>
      <x:c r="E6" s="13" t="n">
        <x:v>695000</x:v>
      </x:c>
      <x:c r="F6" s="13" t="n">
        <x:v>700000</x:v>
      </x:c>
    </x:row>
    <x:row r="7" ht="25" customHeight="1">
      <x:c r="A7" s="1" t="str">
        <x:v>J-N-C</x:v>
      </x:c>
      <x:c r="B7" s="1" t="str">
        <x:v>2026-07</x:v>
      </x:c>
      <x:c r="C7" s="1" t="str">
        <x:v>North</x:v>
      </x:c>
      <x:c r="D7" s="1" t="str">
        <x:v>Contractors</x:v>
      </x:c>
      <x:c r="E7" s="13" t="n">
        <x:v>110000</x:v>
      </x:c>
      <x:c r="F7" s="13" t="n">
        <x:v>100000</x:v>
      </x:c>
    </x:row>
    <x:row r="8" ht="25" customHeight="1">
      <x:c r="A8" s="1" t="str">
        <x:v>J-N-O</x:v>
      </x:c>
      <x:c r="B8" s="1" t="str">
        <x:v>2026-07</x:v>
      </x:c>
      <x:c r="C8" s="1" t="str">
        <x:v>North</x:v>
      </x:c>
      <x:c r="D8" s="1" t="str">
        <x:v>Other operating costs</x:v>
      </x:c>
      <x:c r="E8" s="13" t="n">
        <x:v>300000</x:v>
      </x:c>
      <x:c r="F8" s="13" t="n">
        <x:v>300000</x:v>
      </x:c>
    </x:row>
    <x:row r="9" ht="25" customHeight="1">
      <x:c r="A9" s="1" t="str">
        <x:v>J-C-R</x:v>
      </x:c>
      <x:c r="B9" s="1" t="str">
        <x:v>2026-07</x:v>
      </x:c>
      <x:c r="C9" s="1" t="str">
        <x:v>Central</x:v>
      </x:c>
      <x:c r="D9" s="1" t="str">
        <x:v>Revenue</x:v>
      </x:c>
      <x:c r="E9" s="13" t="n">
        <x:v>1120000</x:v>
      </x:c>
      <x:c r="F9" s="13" t="n">
        <x:v>1050000</x:v>
      </x:c>
    </x:row>
    <x:row r="10" ht="25" customHeight="1">
      <x:c r="A10" s="1" t="str">
        <x:v>J-C-P</x:v>
      </x:c>
      <x:c r="B10" s="1" t="str">
        <x:v>2026-07</x:v>
      </x:c>
      <x:c r="C10" s="1" t="str">
        <x:v>Central</x:v>
      </x:c>
      <x:c r="D10" s="1" t="str">
        <x:v>Payroll</x:v>
      </x:c>
      <x:c r="E10" s="13" t="n">
        <x:v>505000</x:v>
      </x:c>
      <x:c r="F10" s="13" t="n">
        <x:v>500000</x:v>
      </x:c>
    </x:row>
    <x:row r="11" ht="25" customHeight="1">
      <x:c r="A11" s="1" t="str">
        <x:v>J-C-C</x:v>
      </x:c>
      <x:c r="B11" s="1" t="str">
        <x:v>2026-07</x:v>
      </x:c>
      <x:c r="C11" s="1" t="str">
        <x:v>Central</x:v>
      </x:c>
      <x:c r="D11" s="1" t="str">
        <x:v>Contractors</x:v>
      </x:c>
      <x:c r="E11" s="13" t="n">
        <x:v>80000</x:v>
      </x:c>
      <x:c r="F11" s="13" t="n">
        <x:v>80000</x:v>
      </x:c>
    </x:row>
    <x:row r="12" ht="25" customHeight="1">
      <x:c r="A12" s="1" t="str">
        <x:v>J-C-O</x:v>
      </x:c>
      <x:c r="B12" s="1" t="str">
        <x:v>2026-07</x:v>
      </x:c>
      <x:c r="C12" s="1" t="str">
        <x:v>Central</x:v>
      </x:c>
      <x:c r="D12" s="1" t="str">
        <x:v>Other operating costs</x:v>
      </x:c>
      <x:c r="E12" s="13" t="n">
        <x:v>255000</x:v>
      </x:c>
      <x:c r="F12" s="13" t="n">
        <x:v>250000</x:v>
      </x:c>
    </x:row>
    <x:row r="13" ht="25" customHeight="1">
      <x:c r="A13" s="1" t="str">
        <x:v>J-S-R</x:v>
      </x:c>
      <x:c r="B13" s="1" t="str">
        <x:v>2026-07</x:v>
      </x:c>
      <x:c r="C13" s="1" t="str">
        <x:v>South</x:v>
      </x:c>
      <x:c r="D13" s="1" t="str">
        <x:v>Revenue</x:v>
      </x:c>
      <x:c r="E13" s="13" t="n">
        <x:v>780000</x:v>
      </x:c>
      <x:c r="F13" s="13" t="n">
        <x:v>800000</x:v>
      </x:c>
    </x:row>
    <x:row r="14" ht="25" customHeight="1">
      <x:c r="A14" s="1" t="str">
        <x:v>J-S-P</x:v>
      </x:c>
      <x:c r="B14" s="1" t="str">
        <x:v>2026-07</x:v>
      </x:c>
      <x:c r="C14" s="1" t="str">
        <x:v>South</x:v>
      </x:c>
      <x:c r="D14" s="1" t="str">
        <x:v>Payroll</x:v>
      </x:c>
      <x:c r="E14" s="13" t="n">
        <x:v>400000</x:v>
      </x:c>
      <x:c r="F14" s="13" t="n">
        <x:v>400000</x:v>
      </x:c>
    </x:row>
    <x:row r="15" ht="25" customHeight="1">
      <x:c r="A15" s="1" t="str">
        <x:v>J-S-C</x:v>
      </x:c>
      <x:c r="B15" s="1" t="str">
        <x:v>2026-07</x:v>
      </x:c>
      <x:c r="C15" s="1" t="str">
        <x:v>South</x:v>
      </x:c>
      <x:c r="D15" s="1" t="str">
        <x:v>Contractors</x:v>
      </x:c>
      <x:c r="E15" s="13" t="n">
        <x:v>85000</x:v>
      </x:c>
      <x:c r="F15" s="13" t="n">
        <x:v>70000</x:v>
      </x:c>
    </x:row>
    <x:row r="16" ht="25" customHeight="1">
      <x:c r="A16" s="1" t="str">
        <x:v>J-S-O</x:v>
      </x:c>
      <x:c r="B16" s="1" t="str">
        <x:v>2026-07</x:v>
      </x:c>
      <x:c r="C16" s="1" t="str">
        <x:v>South</x:v>
      </x:c>
      <x:c r="D16" s="1" t="str">
        <x:v>Other operating costs</x:v>
      </x:c>
      <x:c r="E16" s="13" t="n">
        <x:v>245000</x:v>
      </x:c>
      <x:c r="F16" s="13" t="n">
        <x:v>240000</x:v>
      </x:c>
    </x:row>
    <x:row r="17" ht="25" customHeight="1">
      <x:c r="A17" s="1" t="str">
        <x:v>A-N-R</x:v>
      </x:c>
      <x:c r="B17" s="1" t="str">
        <x:v>2026-08</x:v>
      </x:c>
      <x:c r="C17" s="1" t="str">
        <x:v>North</x:v>
      </x:c>
      <x:c r="D17" s="1" t="str">
        <x:v>Revenue</x:v>
      </x:c>
      <x:c r="E17" s="13" t="n">
        <x:v>1350000</x:v>
      </x:c>
      <x:c r="F17" s="13" t="n">
        <x:v>1500000</x:v>
      </x:c>
    </x:row>
    <x:row r="18" ht="25" customHeight="1">
      <x:c r="A18" s="1" t="str">
        <x:v>A-N-P</x:v>
      </x:c>
      <x:c r="B18" s="1" t="str">
        <x:v>2026-08</x:v>
      </x:c>
      <x:c r="C18" s="1" t="str">
        <x:v>North</x:v>
      </x:c>
      <x:c r="D18" s="1" t="str">
        <x:v>Payroll</x:v>
      </x:c>
      <x:c r="E18" s="13" t="n">
        <x:v>720000</x:v>
      </x:c>
      <x:c r="F18" s="13" t="n">
        <x:v>700000</x:v>
      </x:c>
    </x:row>
    <x:row r="19" ht="25" customHeight="1">
      <x:c r="A19" s="1" t="str">
        <x:v>A-N-C</x:v>
      </x:c>
      <x:c r="B19" s="1" t="str">
        <x:v>2026-08</x:v>
      </x:c>
      <x:c r="C19" s="1" t="str">
        <x:v>North</x:v>
      </x:c>
      <x:c r="D19" s="1" t="str">
        <x:v>Contractors</x:v>
      </x:c>
      <x:c r="E19" s="13" t="n">
        <x:v>180000</x:v>
      </x:c>
      <x:c r="F19" s="13" t="n">
        <x:v>100000</x:v>
      </x:c>
    </x:row>
    <x:row r="20" ht="25" customHeight="1">
      <x:c r="A20" s="1" t="str">
        <x:v>A-N-O</x:v>
      </x:c>
      <x:c r="B20" s="1" t="str">
        <x:v>2026-08</x:v>
      </x:c>
      <x:c r="C20" s="1" t="str">
        <x:v>North</x:v>
      </x:c>
      <x:c r="D20" s="1" t="str">
        <x:v>Other operating costs</x:v>
      </x:c>
      <x:c r="E20" s="13" t="n">
        <x:v>340000</x:v>
      </x:c>
      <x:c r="F20" s="13" t="n">
        <x:v>300000</x:v>
      </x:c>
    </x:row>
    <x:row r="21" ht="25" customHeight="1">
      <x:c r="A21" s="1" t="str">
        <x:v>A-C-R</x:v>
      </x:c>
      <x:c r="B21" s="1" t="str">
        <x:v>2026-08</x:v>
      </x:c>
      <x:c r="C21" s="1" t="str">
        <x:v>Central</x:v>
      </x:c>
      <x:c r="D21" s="1" t="str">
        <x:v>Revenue</x:v>
      </x:c>
      <x:c r="E21" s="13" t="n">
        <x:v>1150000</x:v>
      </x:c>
      <x:c r="F21" s="13" t="n">
        <x:v>1100000</x:v>
      </x:c>
    </x:row>
    <x:row r="22" ht="25" customHeight="1">
      <x:c r="A22" s="1" t="str">
        <x:v>A-C-P</x:v>
      </x:c>
      <x:c r="B22" s="1" t="str">
        <x:v>2026-08</x:v>
      </x:c>
      <x:c r="C22" s="1" t="str">
        <x:v>Central</x:v>
      </x:c>
      <x:c r="D22" s="1" t="str">
        <x:v>Payroll</x:v>
      </x:c>
      <x:c r="E22" s="13" t="n">
        <x:v>510000</x:v>
      </x:c>
      <x:c r="F22" s="13" t="n">
        <x:v>500000</x:v>
      </x:c>
    </x:row>
    <x:row r="23" ht="25" customHeight="1">
      <x:c r="A23" s="1" t="str">
        <x:v>A-C-C</x:v>
      </x:c>
      <x:c r="B23" s="1" t="str">
        <x:v>2026-08</x:v>
      </x:c>
      <x:c r="C23" s="1" t="str">
        <x:v>Central</x:v>
      </x:c>
      <x:c r="D23" s="1" t="str">
        <x:v>Contractors</x:v>
      </x:c>
      <x:c r="E23" s="13" t="n">
        <x:v>60000</x:v>
      </x:c>
      <x:c r="F23" s="13" t="n">
        <x:v>80000</x:v>
      </x:c>
    </x:row>
    <x:row r="24" ht="25" customHeight="1">
      <x:c r="A24" s="1" t="str">
        <x:v>A-C-O</x:v>
      </x:c>
      <x:c r="B24" s="1" t="str">
        <x:v>2026-08</x:v>
      </x:c>
      <x:c r="C24" s="1" t="str">
        <x:v>Central</x:v>
      </x:c>
      <x:c r="D24" s="1" t="str">
        <x:v>Other operating costs</x:v>
      </x:c>
      <x:c r="E24" s="13" t="n">
        <x:v>245000</x:v>
      </x:c>
      <x:c r="F24" s="13" t="n">
        <x:v>250000</x:v>
      </x:c>
    </x:row>
    <x:row r="25" ht="25" customHeight="1">
      <x:c r="A25" s="1" t="str">
        <x:v>A-S-R</x:v>
      </x:c>
      <x:c r="B25" s="1" t="str">
        <x:v>2026-08</x:v>
      </x:c>
      <x:c r="C25" s="1" t="str">
        <x:v>South</x:v>
      </x:c>
      <x:c r="D25" s="1" t="str">
        <x:v>Revenue</x:v>
      </x:c>
      <x:c r="E25" s="13" t="n">
        <x:v>750000</x:v>
      </x:c>
      <x:c r="F25" s="13" t="n">
        <x:v>800000</x:v>
      </x:c>
    </x:row>
    <x:row r="26" ht="25" customHeight="1">
      <x:c r="A26" s="1" t="str">
        <x:v>A-S-P</x:v>
      </x:c>
      <x:c r="B26" s="1" t="str">
        <x:v>2026-08</x:v>
      </x:c>
      <x:c r="C26" s="1" t="str">
        <x:v>South</x:v>
      </x:c>
      <x:c r="D26" s="1" t="str">
        <x:v>Payroll</x:v>
      </x:c>
      <x:c r="E26" s="13" t="n">
        <x:v>400000</x:v>
      </x:c>
      <x:c r="F26" s="13" t="n">
        <x:v>400000</x:v>
      </x:c>
    </x:row>
    <x:row r="27" ht="25" customHeight="1">
      <x:c r="A27" s="1" t="str">
        <x:v>A-S-C</x:v>
      </x:c>
      <x:c r="B27" s="1" t="str">
        <x:v>2026-08</x:v>
      </x:c>
      <x:c r="C27" s="1" t="str">
        <x:v>South</x:v>
      </x:c>
      <x:c r="D27" s="1" t="str">
        <x:v>Contractors</x:v>
      </x:c>
      <x:c r="E27" s="13" t="n">
        <x:v>50000</x:v>
      </x:c>
      <x:c r="F27" s="13" t="n">
        <x:v>70000</x:v>
      </x:c>
    </x:row>
    <x:row r="28" ht="25" customHeight="1">
      <x:c r="A28" s="1" t="str">
        <x:v>A-S-O</x:v>
      </x:c>
      <x:c r="B28" s="1" t="str">
        <x:v>2026-08</x:v>
      </x:c>
      <x:c r="C28" s="1" t="str">
        <x:v>South</x:v>
      </x:c>
      <x:c r="D28" s="1" t="str">
        <x:v>Other operating costs</x:v>
      </x:c>
      <x:c r="E28" s="13" t="n">
        <x:v>225000</x:v>
      </x:c>
      <x:c r="F28" s="13" t="n">
        <x:v>250000</x:v>
      </x:c>
    </x:row>
    <x:row r="29" ht="25" customHeight="1">
      <x:c r="A29" s="1"/>
      <x:c r="B29" s="1"/>
      <x:c r="C29" s="1"/>
      <x:c r="D29" s="1"/>
      <x:c r="E29" s="1"/>
      <x:c r="F29" s="1"/>
    </x:row>
    <x:row r="30" ht="25" customHeight="1">
      <x:c r="A30" s="1"/>
      <x:c r="B30" s="1"/>
      <x:c r="C30" s="1"/>
      <x:c r="D30" s="1"/>
      <x:c r="E30" s="1"/>
      <x:c r="F30" s="1"/>
    </x:row>
    <x:row r="31" ht="25" customHeight="1">
      <x:c r="A31" s="1" t="str">
        <x:v>Independent company controls</x:v>
      </x:c>
      <x:c r="B31" s="1"/>
      <x:c r="C31" s="1"/>
      <x:c r="D31" s="1"/>
      <x:c r="E31" s="1"/>
      <x:c r="F31" s="1"/>
    </x:row>
    <x:row r="32" ht="25" customHeight="1">
      <x:c r="A32" s="1" t="str">
        <x:v>Separately specified fictional controls. Update deliberately when changing the fixture.</x:v>
      </x:c>
      <x:c r="B32" s="1"/>
      <x:c r="C32" s="1"/>
      <x:c r="D32" s="1"/>
      <x:c r="E32" s="1"/>
      <x:c r="F32" s="1"/>
    </x:row>
    <x:row r="33" ht="38" customHeight="1">
      <x:c r="A33" s="6" t="str">
        <x:v>Month</x:v>
      </x:c>
      <x:c r="B33" s="6" t="str">
        <x:v>Revenue actual</x:v>
      </x:c>
      <x:c r="C33" s="6" t="str">
        <x:v>Revenue budget</x:v>
      </x:c>
      <x:c r="D33" s="6" t="str">
        <x:v>Expenses actual</x:v>
      </x:c>
      <x:c r="E33" s="6" t="str">
        <x:v>Expenses budget</x:v>
      </x:c>
      <x:c r="F33" s="1"/>
    </x:row>
    <x:row r="34" ht="25" customHeight="1">
      <x:c r="A34" s="1" t="str">
        <x:v>2026-07</x:v>
      </x:c>
      <x:c r="B34" s="7" t="n">
        <x:v>3350000</x:v>
      </x:c>
      <x:c r="C34" s="7" t="n">
        <x:v>3300000</x:v>
      </x:c>
      <x:c r="D34" s="7" t="n">
        <x:v>2675000</x:v>
      </x:c>
      <x:c r="E34" s="7" t="n">
        <x:v>2640000</x:v>
      </x:c>
      <x:c r="F34" s="1"/>
    </x:row>
    <x:row r="35" ht="25" customHeight="1">
      <x:c r="A35" s="1" t="str">
        <x:v>2026-08</x:v>
      </x:c>
      <x:c r="B35" s="7" t="n">
        <x:v>3250000</x:v>
      </x:c>
      <x:c r="C35" s="7" t="n">
        <x:v>3400000</x:v>
      </x:c>
      <x:c r="D35" s="7" t="n">
        <x:v>2730000</x:v>
      </x:c>
      <x:c r="E35" s="7" t="n">
        <x:v>2650000</x:v>
      </x:c>
      <x:c r="F35" s="1"/>
    </x:row>
    <x:row r="36" ht="25" customHeight="1">
      <x:c r="A36" s="1"/>
      <x:c r="B36" s="1"/>
      <x:c r="C36" s="1"/>
      <x:c r="D36" s="1"/>
      <x:c r="E36" s="1"/>
      <x:c r="F36" s="1"/>
    </x:row>
    <x:row r="37" ht="25" customHeight="1">
      <x:c r="A37" s="1"/>
      <x:c r="B37" s="1"/>
      <x:c r="C37" s="1"/>
      <x:c r="D37" s="1"/>
      <x:c r="E37" s="1"/>
      <x:c r="F37" s="1"/>
    </x:row>
    <x:row r="38" ht="25" customHeight="1">
      <x:c r="A38" s="1" t="str">
        <x:v>Source: fictional financials.json and controls.json, September 4, 2026.</x:v>
      </x:c>
      <x:c r="B38" s="1"/>
      <x:c r="C38" s="1"/>
      <x:c r="D38" s="1"/>
      <x:c r="E38" s="1"/>
      <x:c r="F38" s="1"/>
    </x:row>
    <x:row r="39" ht="25" customHeight="1">
      <x:c r="A39" s="1" t="str">
        <x:v>Grain: month + office + metric. Expenses are positive. No allocations or eliminations.</x:v>
      </x:c>
      <x:c r="B39" s="1"/>
      <x:c r="C39" s="1"/>
      <x:c r="D39" s="1"/>
      <x:c r="E39" s="1"/>
      <x:c r="F39" s="1"/>
    </x:row>
    <x:row r="40" ht="25" customHeight="1">
      <x:c r="A40" s="1" t="str">
        <x:v>Blue numbers are source inputs. Black numbers in Monthly review are formulas.</x:v>
      </x:c>
      <x:c r="B40" s="1"/>
      <x:c r="C40" s="1"/>
      <x:c r="D40" s="1"/>
      <x:c r="E40" s="1"/>
      <x:c r="F40" s="1"/>
    </x:row>
    <x:row r="41" ht="25" customHeight="1">
      <x:c r="A41" s="1"/>
      <x:c r="B41" s="1"/>
      <x:c r="C41" s="1"/>
      <x:c r="D41" s="1"/>
      <x:c r="E41" s="1"/>
      <x:c r="F41" s="1"/>
    </x:row>
    <x:row r="42" ht="25" customHeight="1">
      <x:c r="A42" s="1"/>
      <x:c r="B42" s="1"/>
      <x:c r="C42" s="1"/>
      <x:c r="D42" s="1"/>
      <x:c r="E42" s="1"/>
      <x:c r="F42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5" customHeight="1">
      <x:c r="A1" s="2" t="str">
        <x:v>August workforce and delivery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5" customHeight="1">
      <x:c r="A2" s="1" t="str">
        <x:v>Fictional source data. Average FTE excludes contractors. Late projects are a subset of completed projects.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8" customHeight="1">
      <x:c r="A4" s="6" t="str">
        <x:v>Source ID</x:v>
      </x:c>
      <x:c r="B4" s="6" t="str">
        <x:v>Office</x:v>
      </x:c>
      <x:c r="C4" s="6" t="str">
        <x:v>FTE actual</x:v>
      </x:c>
      <x:c r="D4" s="6" t="str">
        <x:v>FTE budget</x:v>
      </x:c>
      <x:c r="E4" s="6" t="str">
        <x:v>Projects actual</x:v>
      </x:c>
      <x:c r="F4" s="6" t="str">
        <x:v>Projects budget</x:v>
      </x:c>
      <x:c r="G4" s="6" t="str">
        <x:v>Late actual</x:v>
      </x:c>
      <x:c r="H4" s="6" t="str">
        <x:v>Late budget</x:v>
      </x:c>
      <x:c r="I4" s="6" t="str">
        <x:v>FTE difference</x:v>
      </x:c>
      <x:c r="J4" s="6" t="str">
        <x:v>Late rate actual</x:v>
      </x:c>
      <x:c r="K4" s="6" t="str">
        <x:v>Late rate budget</x:v>
      </x:c>
    </x:row>
    <x:row r="5" ht="25" customHeight="1">
      <x:c r="A5" s="1" t="str">
        <x:v>S-N</x:v>
      </x:c>
      <x:c r="B5" s="1" t="str">
        <x:v>North</x:v>
      </x:c>
      <x:c r="C5" s="15" t="n">
        <x:v>67</x:v>
      </x:c>
      <x:c r="D5" s="15" t="n">
        <x:v>70</x:v>
      </x:c>
      <x:c r="E5" s="15" t="n">
        <x:v>120</x:v>
      </x:c>
      <x:c r="F5" s="15" t="n">
        <x:v>130</x:v>
      </x:c>
      <x:c r="G5" s="15" t="n">
        <x:v>18</x:v>
      </x:c>
      <x:c r="H5" s="15" t="n">
        <x:v>8</x:v>
      </x:c>
      <x:c r="I5" s="16" t="n">
        <x:f>C5-D5</x:f>
        <x:v>-3</x:v>
      </x:c>
      <x:c r="J5" s="9" t="n">
        <x:f>IF(E5=0,"Unavailable",G5/E5)</x:f>
        <x:v>0.15</x:v>
      </x:c>
      <x:c r="K5" s="9" t="n">
        <x:f>IF(F5=0,"Unavailable",H5/F5)</x:f>
        <x:v>0.06153846153846154</x:v>
      </x:c>
    </x:row>
    <x:row r="6" ht="25" customHeight="1">
      <x:c r="A6" s="1" t="str">
        <x:v>S-C</x:v>
      </x:c>
      <x:c r="B6" s="1" t="str">
        <x:v>Central</x:v>
      </x:c>
      <x:c r="C6" s="15" t="n">
        <x:v>52</x:v>
      </x:c>
      <x:c r="D6" s="15" t="n">
        <x:v>50</x:v>
      </x:c>
      <x:c r="E6" s="15" t="n">
        <x:v>108</x:v>
      </x:c>
      <x:c r="F6" s="15" t="n">
        <x:v>100</x:v>
      </x:c>
      <x:c r="G6" s="15" t="n">
        <x:v>5</x:v>
      </x:c>
      <x:c r="H6" s="15" t="n">
        <x:v>6</x:v>
      </x:c>
      <x:c r="I6" s="16" t="n">
        <x:f>C6-D6</x:f>
        <x:v>2</x:v>
      </x:c>
      <x:c r="J6" s="9" t="n">
        <x:f>IF(E6=0,"Unavailable",G6/E6)</x:f>
        <x:v>0.046296296296296294</x:v>
      </x:c>
      <x:c r="K6" s="9" t="n">
        <x:f>IF(F6=0,"Unavailable",H6/F6)</x:f>
        <x:v>0.06</x:v>
      </x:c>
    </x:row>
    <x:row r="7" ht="25" customHeight="1">
      <x:c r="A7" s="1" t="str">
        <x:v>S-S</x:v>
      </x:c>
      <x:c r="B7" s="1" t="str">
        <x:v>South</x:v>
      </x:c>
      <x:c r="C7" s="15" t="n">
        <x:v>40</x:v>
      </x:c>
      <x:c r="D7" s="15" t="n">
        <x:v>40</x:v>
      </x:c>
      <x:c r="E7" s="15" t="n">
        <x:v>74</x:v>
      </x:c>
      <x:c r="F7" s="15" t="n">
        <x:v>80</x:v>
      </x:c>
      <x:c r="G7" s="15" t="n">
        <x:v>7</x:v>
      </x:c>
      <x:c r="H7" s="15" t="n">
        <x:v>5</x:v>
      </x:c>
      <x:c r="I7" s="16" t="n">
        <x:f>C7-D7</x:f>
        <x:v>0</x:v>
      </x:c>
      <x:c r="J7" s="9" t="n">
        <x:f>IF(E7=0,"Unavailable",G7/E7)</x:f>
        <x:v>0.0945945945945946</x:v>
      </x:c>
      <x:c r="K7" s="9" t="n">
        <x:f>IF(F7=0,"Unavailable",H7/F7)</x:f>
        <x:v>0.0625</x:v>
      </x:c>
    </x:row>
    <x:row r="8" ht="2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 ht="2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 ht="25" customHeight="1">
      <x:c r="A10" s="1" t="str">
        <x:v>Missing evidence: project mix, billing timing, rates, hours, and revenue-recognition detail.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5" customHeight="1">
      <x:c r="A11" s="1" t="str">
        <x:v>Source: fictional staffing.json, August 2026. Row IDs S-N, S-C, S-S.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5" customHeight="1">
      <x:c r="A12" s="1" t="str">
        <x:v>July workforce was not supplied. Do not interpret missing workforce as zero.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</x:sheetData>
  <x:pageMargins left="0.7" right="0.7" top="0.75" bottom="0.75" header="0.3" footer="0.3"/>
</x:worksheet>
</file>